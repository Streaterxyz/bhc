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 2 - Roster Waste Cheat She" sheetId="1" r:id="rId4"/>
    <sheet state="visible" name="Tool 3 - Menu Margin Trap Fixer" sheetId="2" r:id="rId5"/>
    <sheet state="visible" name="Venue Margin Trap Fixer" sheetId="3" r:id="rId6"/>
    <sheet state="visible" name="Recipe Margin Calculator" sheetId="4" r:id="rId7"/>
  </sheets>
  <definedNames/>
  <calcPr/>
  <extLst>
    <ext uri="GoogleSheetsCustomDataVersion2">
      <go:sheetsCustomData xmlns:go="http://customooxmlschemas.google.com/" r:id="rId8" roundtripDataChecksum="Vh5pLdzmeF2L6+jVVJgqGFHpHKdYoDuMJX9BzBtAnV8="/>
    </ext>
  </extLst>
</workbook>
</file>

<file path=xl/sharedStrings.xml><?xml version="1.0" encoding="utf-8"?>
<sst xmlns="http://schemas.openxmlformats.org/spreadsheetml/2006/main" count="80" uniqueCount="62">
  <si>
    <t>Roster Waste Cheat Sheet</t>
  </si>
  <si>
    <t>Revenue Forecasting</t>
  </si>
  <si>
    <t>Labour Analysis</t>
  </si>
  <si>
    <t>Service</t>
  </si>
  <si>
    <t>Pax</t>
  </si>
  <si>
    <t>SPH</t>
  </si>
  <si>
    <t>Total</t>
  </si>
  <si>
    <t>Labour Cost</t>
  </si>
  <si>
    <t>Hours</t>
  </si>
  <si>
    <t>AHR</t>
  </si>
  <si>
    <t>Labour %</t>
  </si>
  <si>
    <t>Budget</t>
  </si>
  <si>
    <t>$ Budget</t>
  </si>
  <si>
    <t>$ Labour Waste</t>
  </si>
  <si>
    <t>Monday</t>
  </si>
  <si>
    <t>Tuesday</t>
  </si>
  <si>
    <t>Wednesday</t>
  </si>
  <si>
    <t>Thursday</t>
  </si>
  <si>
    <t>Friday</t>
  </si>
  <si>
    <t>Saturday</t>
  </si>
  <si>
    <t>Sunday</t>
  </si>
  <si>
    <t>Fill in purple cells with venue info</t>
  </si>
  <si>
    <t>Menu Margin Trap Fixer</t>
  </si>
  <si>
    <t>Menu Item</t>
  </si>
  <si>
    <t>Cost Price</t>
  </si>
  <si>
    <t>Prep Labour $</t>
  </si>
  <si>
    <t xml:space="preserve">Overhead </t>
  </si>
  <si>
    <t>Sell Price</t>
  </si>
  <si>
    <t>COGs</t>
  </si>
  <si>
    <t>Parmigiana</t>
  </si>
  <si>
    <t>Rump Steak</t>
  </si>
  <si>
    <t>Chicken Wings</t>
  </si>
  <si>
    <t>Fish and Chips</t>
  </si>
  <si>
    <t>Garlic Bread</t>
  </si>
  <si>
    <t>Ceviche</t>
  </si>
  <si>
    <t>Venue Margin Trap Fixer</t>
  </si>
  <si>
    <t>Cost Analysis</t>
  </si>
  <si>
    <t>Food Cost</t>
  </si>
  <si>
    <t>Bev Cost</t>
  </si>
  <si>
    <t>Rent</t>
  </si>
  <si>
    <t>Utilities</t>
  </si>
  <si>
    <t>Misc.</t>
  </si>
  <si>
    <t>P/L?</t>
  </si>
  <si>
    <t>Recipe Margin Calculator</t>
  </si>
  <si>
    <t>Dish Element</t>
  </si>
  <si>
    <t>Unit</t>
  </si>
  <si>
    <t>Pack Cost</t>
  </si>
  <si>
    <t>Pack Size</t>
  </si>
  <si>
    <t>Qty in Dish</t>
  </si>
  <si>
    <t>Cost of Element</t>
  </si>
  <si>
    <t>Bacon</t>
  </si>
  <si>
    <t>g</t>
  </si>
  <si>
    <t>Egg</t>
  </si>
  <si>
    <t>ea</t>
  </si>
  <si>
    <t>Brioche Bun</t>
  </si>
  <si>
    <t>Tomato Sauce</t>
  </si>
  <si>
    <t>ml</t>
  </si>
  <si>
    <t>Tasty Cheese</t>
  </si>
  <si>
    <t>Total Cost</t>
  </si>
  <si>
    <t>Sale Price</t>
  </si>
  <si>
    <t>Margin</t>
  </si>
  <si>
    <t>Gross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</si>
</sst>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;[Red]\-&quot;$&quot;#,##0.00"/>
    <numFmt numFmtId="165" formatCode="_-&quot;$&quot;* #,##0.00_-;\-&quot;$&quot;* #,##0.00_-;_-&quot;$&quot;* &quot;-&quot;??_-;_-@"/>
    <numFmt numFmtId="166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4" fillId="0" fontId="0" numFmtId="0" xfId="0" applyAlignment="1" applyBorder="1" applyFont="1">
      <alignment shrinkToFit="0" wrapText="1"/>
    </xf>
    <xf borderId="4" fillId="2" fontId="0" numFmtId="0" xfId="0" applyAlignment="1" applyBorder="1" applyFill="1" applyFont="1">
      <alignment shrinkToFit="0" wrapText="1"/>
    </xf>
    <xf borderId="4" fillId="2" fontId="0" numFmtId="164" xfId="0" applyAlignment="1" applyBorder="1" applyFont="1" applyNumberFormat="1">
      <alignment horizontal="right" shrinkToFit="0" wrapText="1"/>
    </xf>
    <xf borderId="4" fillId="0" fontId="0" numFmtId="164" xfId="0" applyAlignment="1" applyBorder="1" applyFont="1" applyNumberFormat="1">
      <alignment horizontal="right" shrinkToFit="0" wrapText="1"/>
    </xf>
    <xf borderId="4" fillId="2" fontId="0" numFmtId="165" xfId="0" applyBorder="1" applyFont="1" applyNumberFormat="1"/>
    <xf borderId="4" fillId="2" fontId="0" numFmtId="0" xfId="0" applyBorder="1" applyFont="1"/>
    <xf borderId="4" fillId="0" fontId="0" numFmtId="165" xfId="0" applyBorder="1" applyFont="1" applyNumberFormat="1"/>
    <xf borderId="4" fillId="0" fontId="0" numFmtId="10" xfId="0" applyBorder="1" applyFont="1" applyNumberFormat="1"/>
    <xf borderId="4" fillId="2" fontId="0" numFmtId="10" xfId="0" applyBorder="1" applyFont="1" applyNumberFormat="1"/>
    <xf borderId="4" fillId="0" fontId="0" numFmtId="165" xfId="0" applyAlignment="1" applyBorder="1" applyFont="1" applyNumberFormat="1">
      <alignment readingOrder="0"/>
    </xf>
    <xf borderId="4" fillId="2" fontId="0" numFmtId="0" xfId="0" applyAlignment="1" applyBorder="1" applyFont="1">
      <alignment readingOrder="0" shrinkToFit="0" wrapText="1"/>
    </xf>
    <xf borderId="4" fillId="0" fontId="0" numFmtId="0" xfId="0" applyAlignment="1" applyBorder="1" applyFont="1">
      <alignment horizontal="right" shrinkToFit="0" wrapText="1"/>
    </xf>
    <xf borderId="4" fillId="0" fontId="0" numFmtId="164" xfId="0" applyAlignment="1" applyBorder="1" applyFont="1" applyNumberFormat="1">
      <alignment shrinkToFit="0" wrapText="1"/>
    </xf>
    <xf borderId="4" fillId="0" fontId="0" numFmtId="0" xfId="0" applyBorder="1" applyFont="1"/>
    <xf borderId="5" fillId="0" fontId="0" numFmtId="0" xfId="0" applyAlignment="1" applyBorder="1" applyFont="1">
      <alignment shrinkToFit="0" wrapText="1"/>
    </xf>
    <xf borderId="6" fillId="0" fontId="0" numFmtId="0" xfId="0" applyAlignment="1" applyBorder="1" applyFont="1">
      <alignment shrinkToFit="0" wrapText="1"/>
    </xf>
    <xf borderId="0" fillId="0" fontId="0" numFmtId="0" xfId="0" applyFont="1"/>
    <xf borderId="1" fillId="0" fontId="0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bottom"/>
    </xf>
    <xf borderId="4" fillId="4" fontId="0" numFmtId="0" xfId="0" applyAlignment="1" applyBorder="1" applyFill="1" applyFont="1">
      <alignment vertical="bottom"/>
    </xf>
    <xf borderId="4" fillId="0" fontId="0" numFmtId="0" xfId="0" applyAlignment="1" applyBorder="1" applyFont="1">
      <alignment vertical="bottom"/>
    </xf>
    <xf borderId="4" fillId="0" fontId="0" numFmtId="165" xfId="0" applyAlignment="1" applyBorder="1" applyFont="1" applyNumberFormat="1">
      <alignment horizontal="right" vertical="bottom"/>
    </xf>
    <xf borderId="4" fillId="0" fontId="0" numFmtId="166" xfId="0" applyAlignment="1" applyBorder="1" applyFont="1" applyNumberFormat="1">
      <alignment horizontal="right" vertical="bottom"/>
    </xf>
    <xf borderId="4" fillId="0" fontId="0" numFmtId="10" xfId="0" applyAlignment="1" applyBorder="1" applyFont="1" applyNumberFormat="1">
      <alignment horizontal="right" vertical="bottom"/>
    </xf>
    <xf borderId="4" fillId="0" fontId="0" numFmtId="10" xfId="0" applyAlignment="1" applyBorder="1" applyFont="1" applyNumberFormat="1">
      <alignment horizontal="center" vertical="bottom"/>
    </xf>
    <xf borderId="4" fillId="0" fontId="0" numFmtId="164" xfId="0" applyBorder="1" applyFont="1" applyNumberFormat="1"/>
    <xf borderId="4" fillId="0" fontId="0" numFmtId="166" xfId="0" applyBorder="1" applyFont="1" applyNumberFormat="1"/>
    <xf borderId="1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0" numFmtId="0" xfId="0" applyAlignment="1" applyBorder="1" applyFont="1">
      <alignment readingOrder="0"/>
    </xf>
    <xf borderId="4" fillId="0" fontId="0" numFmtId="166" xfId="0" applyAlignment="1" applyBorder="1" applyFont="1" applyNumberFormat="1">
      <alignment readingOrder="0"/>
    </xf>
    <xf borderId="4" fillId="0" fontId="0" numFmtId="166" xfId="0" applyBorder="1" applyFont="1" applyNumberFormat="1"/>
    <xf borderId="4" fillId="0" fontId="0" numFmtId="0" xfId="0" applyBorder="1" applyFont="1"/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>
        <color rgb="FFE7E6E6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9.0"/>
    <col customWidth="1" min="3" max="3" width="12.14"/>
    <col customWidth="1" min="4" max="4" width="12.71"/>
    <col customWidth="1" min="5" max="5" width="14.86"/>
    <col customWidth="1" min="6" max="9" width="8.71"/>
    <col customWidth="1" min="10" max="10" width="11.57"/>
    <col customWidth="1" min="11" max="11" width="13.86"/>
    <col customWidth="1" min="12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A2" s="4" t="s">
        <v>1</v>
      </c>
      <c r="B2" s="2"/>
      <c r="C2" s="2"/>
      <c r="D2" s="3"/>
      <c r="E2" s="5" t="s">
        <v>2</v>
      </c>
      <c r="F2" s="2"/>
      <c r="G2" s="2"/>
      <c r="H2" s="2"/>
      <c r="I2" s="2"/>
      <c r="J2" s="2"/>
      <c r="K2" s="3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</row>
    <row r="4" ht="14.25" customHeight="1">
      <c r="A4" s="6" t="s">
        <v>14</v>
      </c>
      <c r="B4" s="7">
        <v>100.0</v>
      </c>
      <c r="C4" s="8">
        <v>50.0</v>
      </c>
      <c r="D4" s="9">
        <f t="shared" ref="D4:D10" si="1">B4*C4</f>
        <v>5000</v>
      </c>
      <c r="E4" s="10">
        <v>1800.0</v>
      </c>
      <c r="F4" s="11">
        <v>45.0</v>
      </c>
      <c r="G4" s="12">
        <f t="shared" ref="G4:G10" si="2">E4/F4</f>
        <v>40</v>
      </c>
      <c r="H4" s="13">
        <f t="shared" ref="H4:H10" si="3">E4/D4</f>
        <v>0.36</v>
      </c>
      <c r="I4" s="14">
        <v>0.28</v>
      </c>
      <c r="J4" s="12">
        <f>(D4/100)*28</f>
        <v>1400</v>
      </c>
      <c r="K4" s="12">
        <f t="shared" ref="K4:K10" si="4">E4-J4</f>
        <v>400</v>
      </c>
    </row>
    <row r="5" ht="14.25" customHeight="1">
      <c r="A5" s="6" t="s">
        <v>15</v>
      </c>
      <c r="B5" s="7">
        <v>100.0</v>
      </c>
      <c r="C5" s="8">
        <v>50.0</v>
      </c>
      <c r="D5" s="9">
        <f t="shared" si="1"/>
        <v>5000</v>
      </c>
      <c r="E5" s="10">
        <v>1800.0</v>
      </c>
      <c r="F5" s="11">
        <v>45.0</v>
      </c>
      <c r="G5" s="12">
        <f t="shared" si="2"/>
        <v>40</v>
      </c>
      <c r="H5" s="13">
        <f t="shared" si="3"/>
        <v>0.36</v>
      </c>
      <c r="I5" s="14">
        <v>0.28</v>
      </c>
      <c r="J5" s="15">
        <v>1000.0</v>
      </c>
      <c r="K5" s="12">
        <f t="shared" si="4"/>
        <v>800</v>
      </c>
    </row>
    <row r="6" ht="14.25" customHeight="1">
      <c r="A6" s="6" t="s">
        <v>16</v>
      </c>
      <c r="B6" s="7">
        <v>100.0</v>
      </c>
      <c r="C6" s="8">
        <v>50.0</v>
      </c>
      <c r="D6" s="9">
        <f t="shared" si="1"/>
        <v>5000</v>
      </c>
      <c r="E6" s="10">
        <v>1800.0</v>
      </c>
      <c r="F6" s="11">
        <v>45.0</v>
      </c>
      <c r="G6" s="12">
        <f t="shared" si="2"/>
        <v>40</v>
      </c>
      <c r="H6" s="13">
        <f t="shared" si="3"/>
        <v>0.36</v>
      </c>
      <c r="I6" s="14">
        <v>0.28</v>
      </c>
      <c r="J6" s="12">
        <f t="shared" ref="J6:J10" si="5">(D6/100)*28</f>
        <v>1400</v>
      </c>
      <c r="K6" s="12">
        <f t="shared" si="4"/>
        <v>400</v>
      </c>
    </row>
    <row r="7" ht="14.25" customHeight="1">
      <c r="A7" s="6" t="s">
        <v>17</v>
      </c>
      <c r="B7" s="16">
        <v>130.0</v>
      </c>
      <c r="C7" s="8">
        <v>50.0</v>
      </c>
      <c r="D7" s="9">
        <f t="shared" si="1"/>
        <v>6500</v>
      </c>
      <c r="E7" s="10">
        <v>1800.0</v>
      </c>
      <c r="F7" s="11">
        <v>45.0</v>
      </c>
      <c r="G7" s="12">
        <f t="shared" si="2"/>
        <v>40</v>
      </c>
      <c r="H7" s="13">
        <f t="shared" si="3"/>
        <v>0.2769230769</v>
      </c>
      <c r="I7" s="14">
        <v>0.28</v>
      </c>
      <c r="J7" s="12">
        <f t="shared" si="5"/>
        <v>1820</v>
      </c>
      <c r="K7" s="12">
        <f t="shared" si="4"/>
        <v>-20</v>
      </c>
    </row>
    <row r="8" ht="14.25" customHeight="1">
      <c r="A8" s="6" t="s">
        <v>18</v>
      </c>
      <c r="B8" s="7">
        <v>200.0</v>
      </c>
      <c r="C8" s="8">
        <v>50.0</v>
      </c>
      <c r="D8" s="9">
        <f t="shared" si="1"/>
        <v>10000</v>
      </c>
      <c r="E8" s="10">
        <v>1800.0</v>
      </c>
      <c r="F8" s="11">
        <v>45.0</v>
      </c>
      <c r="G8" s="12">
        <f t="shared" si="2"/>
        <v>40</v>
      </c>
      <c r="H8" s="13">
        <f t="shared" si="3"/>
        <v>0.18</v>
      </c>
      <c r="I8" s="14">
        <v>0.28</v>
      </c>
      <c r="J8" s="12">
        <f t="shared" si="5"/>
        <v>2800</v>
      </c>
      <c r="K8" s="12">
        <f t="shared" si="4"/>
        <v>-1000</v>
      </c>
    </row>
    <row r="9" ht="14.25" customHeight="1">
      <c r="A9" s="6" t="s">
        <v>19</v>
      </c>
      <c r="B9" s="7">
        <v>200.0</v>
      </c>
      <c r="C9" s="8">
        <v>50.0</v>
      </c>
      <c r="D9" s="9">
        <f t="shared" si="1"/>
        <v>10000</v>
      </c>
      <c r="E9" s="10">
        <v>1800.0</v>
      </c>
      <c r="F9" s="11">
        <v>45.0</v>
      </c>
      <c r="G9" s="12">
        <f t="shared" si="2"/>
        <v>40</v>
      </c>
      <c r="H9" s="13">
        <f t="shared" si="3"/>
        <v>0.18</v>
      </c>
      <c r="I9" s="14">
        <v>0.28</v>
      </c>
      <c r="J9" s="12">
        <f t="shared" si="5"/>
        <v>2800</v>
      </c>
      <c r="K9" s="12">
        <f t="shared" si="4"/>
        <v>-1000</v>
      </c>
    </row>
    <row r="10" ht="14.25" customHeight="1">
      <c r="A10" s="6" t="s">
        <v>20</v>
      </c>
      <c r="B10" s="7">
        <v>150.0</v>
      </c>
      <c r="C10" s="8">
        <v>50.0</v>
      </c>
      <c r="D10" s="9">
        <f t="shared" si="1"/>
        <v>7500</v>
      </c>
      <c r="E10" s="10">
        <v>1800.0</v>
      </c>
      <c r="F10" s="11">
        <v>45.0</v>
      </c>
      <c r="G10" s="12">
        <f t="shared" si="2"/>
        <v>40</v>
      </c>
      <c r="H10" s="13">
        <f t="shared" si="3"/>
        <v>0.24</v>
      </c>
      <c r="I10" s="14">
        <v>0.28</v>
      </c>
      <c r="J10" s="12">
        <f t="shared" si="5"/>
        <v>2100</v>
      </c>
      <c r="K10" s="12">
        <f t="shared" si="4"/>
        <v>-300</v>
      </c>
    </row>
    <row r="11" ht="14.25" customHeight="1">
      <c r="A11" s="6"/>
      <c r="B11" s="17">
        <v>0.0</v>
      </c>
      <c r="C11" s="18">
        <f>AVERAGE(C4:C10)</f>
        <v>50</v>
      </c>
      <c r="D11" s="9">
        <f t="shared" ref="D11:F11" si="6">SUM(D4:D10)</f>
        <v>49000</v>
      </c>
      <c r="E11" s="12">
        <f t="shared" si="6"/>
        <v>12600</v>
      </c>
      <c r="F11" s="19">
        <f t="shared" si="6"/>
        <v>315</v>
      </c>
      <c r="G11" s="12">
        <f t="shared" ref="G11:I11" si="7">AVERAGE(G4:G10)</f>
        <v>40</v>
      </c>
      <c r="H11" s="13">
        <f t="shared" si="7"/>
        <v>0.2795604396</v>
      </c>
      <c r="I11" s="13">
        <f t="shared" si="7"/>
        <v>0.28</v>
      </c>
      <c r="J11" s="12">
        <f t="shared" ref="J11:K11" si="8">SUM(J4:J10)</f>
        <v>13320</v>
      </c>
      <c r="K11" s="12">
        <f t="shared" si="8"/>
        <v>-720</v>
      </c>
    </row>
    <row r="12" ht="14.25" customHeight="1">
      <c r="A12" s="20"/>
      <c r="B12" s="20"/>
      <c r="C12" s="20"/>
      <c r="D12" s="21"/>
      <c r="E12" s="22"/>
      <c r="F12" s="22"/>
      <c r="G12" s="22"/>
      <c r="H12" s="22"/>
      <c r="I12" s="22"/>
      <c r="J12" s="22"/>
      <c r="K12" s="22"/>
    </row>
    <row r="13" ht="14.25" customHeight="1">
      <c r="A13" s="7"/>
      <c r="B13" s="23" t="s">
        <v>21</v>
      </c>
      <c r="C13" s="3"/>
      <c r="D13" s="22"/>
      <c r="E13" s="22"/>
      <c r="F13" s="22"/>
      <c r="G13" s="22"/>
      <c r="H13" s="22"/>
      <c r="I13" s="22"/>
      <c r="J13" s="22"/>
      <c r="K13" s="2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K1"/>
    <mergeCell ref="A2:D2"/>
    <mergeCell ref="E2:K2"/>
    <mergeCell ref="B13:C13"/>
  </mergeCells>
  <conditionalFormatting sqref="K4:K11">
    <cfRule type="cellIs" dxfId="0" priority="1" operator="lessThan">
      <formula>-200</formula>
    </cfRule>
  </conditionalFormatting>
  <conditionalFormatting sqref="K4:K11">
    <cfRule type="cellIs" dxfId="1" priority="2" operator="greaterThan">
      <formula>200</formula>
    </cfRule>
  </conditionalFormatting>
  <conditionalFormatting sqref="K4:K11">
    <cfRule type="cellIs" dxfId="2" priority="3" operator="between">
      <formula>200</formula>
      <formula>-200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22</v>
      </c>
      <c r="B1" s="2"/>
      <c r="C1" s="2"/>
      <c r="D1" s="2"/>
      <c r="E1" s="2"/>
      <c r="F1" s="3"/>
    </row>
    <row r="2">
      <c r="A2" s="25" t="s">
        <v>23</v>
      </c>
      <c r="B2" s="25" t="s">
        <v>24</v>
      </c>
      <c r="C2" s="25" t="s">
        <v>25</v>
      </c>
      <c r="D2" s="25" t="s">
        <v>26</v>
      </c>
      <c r="E2" s="25" t="s">
        <v>27</v>
      </c>
      <c r="F2" s="25" t="s">
        <v>28</v>
      </c>
    </row>
    <row r="3">
      <c r="A3" s="26" t="s">
        <v>29</v>
      </c>
      <c r="B3" s="27">
        <v>5.0</v>
      </c>
      <c r="C3" s="27">
        <v>5.0</v>
      </c>
      <c r="D3" s="28">
        <v>5.0</v>
      </c>
      <c r="E3" s="27">
        <v>25.0</v>
      </c>
      <c r="F3" s="29">
        <f t="shared" ref="F3:F20" si="1">(B3+C3)/E3</f>
        <v>0.4</v>
      </c>
    </row>
    <row r="4">
      <c r="A4" s="26" t="s">
        <v>30</v>
      </c>
      <c r="B4" s="27">
        <v>8.0</v>
      </c>
      <c r="C4" s="27">
        <v>3.0</v>
      </c>
      <c r="D4" s="28">
        <v>5.0</v>
      </c>
      <c r="E4" s="27">
        <v>32.0</v>
      </c>
      <c r="F4" s="29">
        <f t="shared" si="1"/>
        <v>0.34375</v>
      </c>
    </row>
    <row r="5">
      <c r="A5" s="26" t="s">
        <v>31</v>
      </c>
      <c r="B5" s="27">
        <v>2.0</v>
      </c>
      <c r="C5" s="27">
        <v>6.0</v>
      </c>
      <c r="D5" s="28">
        <v>5.0</v>
      </c>
      <c r="E5" s="27">
        <v>22.0</v>
      </c>
      <c r="F5" s="29">
        <f t="shared" si="1"/>
        <v>0.3636363636</v>
      </c>
    </row>
    <row r="6">
      <c r="A6" s="26" t="s">
        <v>32</v>
      </c>
      <c r="B6" s="27">
        <v>6.0</v>
      </c>
      <c r="C6" s="27">
        <v>0.0</v>
      </c>
      <c r="D6" s="28">
        <v>5.0</v>
      </c>
      <c r="E6" s="27">
        <v>26.0</v>
      </c>
      <c r="F6" s="29">
        <f t="shared" si="1"/>
        <v>0.2307692308</v>
      </c>
    </row>
    <row r="7">
      <c r="A7" s="26" t="s">
        <v>33</v>
      </c>
      <c r="B7" s="27">
        <v>2.0</v>
      </c>
      <c r="C7" s="27">
        <v>0.0</v>
      </c>
      <c r="D7" s="28">
        <v>5.0</v>
      </c>
      <c r="E7" s="27">
        <v>12.0</v>
      </c>
      <c r="F7" s="29">
        <f t="shared" si="1"/>
        <v>0.1666666667</v>
      </c>
    </row>
    <row r="8">
      <c r="A8" s="26" t="s">
        <v>34</v>
      </c>
      <c r="B8" s="27">
        <v>5.0</v>
      </c>
      <c r="C8" s="27">
        <v>5.0</v>
      </c>
      <c r="D8" s="28">
        <v>5.0</v>
      </c>
      <c r="E8" s="27">
        <v>22.0</v>
      </c>
      <c r="F8" s="29">
        <f t="shared" si="1"/>
        <v>0.4545454545</v>
      </c>
    </row>
    <row r="9">
      <c r="A9" s="26"/>
      <c r="B9" s="27">
        <v>0.0</v>
      </c>
      <c r="C9" s="27">
        <v>0.0</v>
      </c>
      <c r="D9" s="28">
        <v>5.0</v>
      </c>
      <c r="E9" s="27">
        <v>0.0</v>
      </c>
      <c r="F9" s="30" t="str">
        <f t="shared" si="1"/>
        <v>#DIV/0!</v>
      </c>
    </row>
    <row r="10">
      <c r="A10" s="26"/>
      <c r="B10" s="27">
        <v>0.0</v>
      </c>
      <c r="C10" s="27">
        <v>0.0</v>
      </c>
      <c r="D10" s="28">
        <v>5.0</v>
      </c>
      <c r="E10" s="27">
        <v>0.0</v>
      </c>
      <c r="F10" s="30" t="str">
        <f t="shared" si="1"/>
        <v>#DIV/0!</v>
      </c>
    </row>
    <row r="11">
      <c r="A11" s="26"/>
      <c r="B11" s="27">
        <v>0.0</v>
      </c>
      <c r="C11" s="27">
        <v>0.0</v>
      </c>
      <c r="D11" s="28">
        <v>5.0</v>
      </c>
      <c r="E11" s="27">
        <v>0.0</v>
      </c>
      <c r="F11" s="30" t="str">
        <f t="shared" si="1"/>
        <v>#DIV/0!</v>
      </c>
    </row>
    <row r="12">
      <c r="A12" s="26"/>
      <c r="B12" s="27">
        <v>0.0</v>
      </c>
      <c r="C12" s="27">
        <v>0.0</v>
      </c>
      <c r="D12" s="28">
        <v>5.0</v>
      </c>
      <c r="E12" s="27">
        <v>0.0</v>
      </c>
      <c r="F12" s="30" t="str">
        <f t="shared" si="1"/>
        <v>#DIV/0!</v>
      </c>
    </row>
    <row r="13">
      <c r="A13" s="26"/>
      <c r="B13" s="27">
        <v>0.0</v>
      </c>
      <c r="C13" s="27">
        <v>0.0</v>
      </c>
      <c r="D13" s="28">
        <v>5.0</v>
      </c>
      <c r="E13" s="27">
        <v>0.0</v>
      </c>
      <c r="F13" s="30" t="str">
        <f t="shared" si="1"/>
        <v>#DIV/0!</v>
      </c>
    </row>
    <row r="14">
      <c r="A14" s="26"/>
      <c r="B14" s="27">
        <v>0.0</v>
      </c>
      <c r="C14" s="27">
        <v>0.0</v>
      </c>
      <c r="D14" s="28">
        <v>5.0</v>
      </c>
      <c r="E14" s="27">
        <v>0.0</v>
      </c>
      <c r="F14" s="30" t="str">
        <f t="shared" si="1"/>
        <v>#DIV/0!</v>
      </c>
    </row>
    <row r="15">
      <c r="A15" s="26"/>
      <c r="B15" s="27">
        <v>0.0</v>
      </c>
      <c r="C15" s="27">
        <v>0.0</v>
      </c>
      <c r="D15" s="28">
        <v>5.0</v>
      </c>
      <c r="E15" s="27">
        <v>0.0</v>
      </c>
      <c r="F15" s="30" t="str">
        <f t="shared" si="1"/>
        <v>#DIV/0!</v>
      </c>
    </row>
    <row r="16">
      <c r="A16" s="26"/>
      <c r="B16" s="27">
        <v>0.0</v>
      </c>
      <c r="C16" s="27">
        <v>0.0</v>
      </c>
      <c r="D16" s="28">
        <v>5.0</v>
      </c>
      <c r="E16" s="27">
        <v>0.0</v>
      </c>
      <c r="F16" s="30" t="str">
        <f t="shared" si="1"/>
        <v>#DIV/0!</v>
      </c>
    </row>
    <row r="17">
      <c r="A17" s="26"/>
      <c r="B17" s="27">
        <v>0.0</v>
      </c>
      <c r="C17" s="27">
        <v>0.0</v>
      </c>
      <c r="D17" s="28">
        <v>5.0</v>
      </c>
      <c r="E17" s="27">
        <v>0.0</v>
      </c>
      <c r="F17" s="30" t="str">
        <f t="shared" si="1"/>
        <v>#DIV/0!</v>
      </c>
    </row>
    <row r="18">
      <c r="A18" s="26"/>
      <c r="B18" s="27">
        <v>0.0</v>
      </c>
      <c r="C18" s="27">
        <v>0.0</v>
      </c>
      <c r="D18" s="28">
        <v>5.0</v>
      </c>
      <c r="E18" s="27">
        <v>0.0</v>
      </c>
      <c r="F18" s="30" t="str">
        <f t="shared" si="1"/>
        <v>#DIV/0!</v>
      </c>
    </row>
    <row r="19">
      <c r="A19" s="26"/>
      <c r="B19" s="27">
        <v>0.0</v>
      </c>
      <c r="C19" s="27">
        <v>0.0</v>
      </c>
      <c r="D19" s="28">
        <v>5.0</v>
      </c>
      <c r="E19" s="27">
        <v>0.0</v>
      </c>
      <c r="F19" s="30" t="str">
        <f t="shared" si="1"/>
        <v>#DIV/0!</v>
      </c>
    </row>
    <row r="20">
      <c r="A20" s="26"/>
      <c r="B20" s="27">
        <v>0.0</v>
      </c>
      <c r="C20" s="27">
        <v>0.0</v>
      </c>
      <c r="D20" s="28">
        <v>5.0</v>
      </c>
      <c r="E20" s="27">
        <v>0.0</v>
      </c>
      <c r="F20" s="30" t="str">
        <f t="shared" si="1"/>
        <v>#DIV/0!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4.57"/>
    <col customWidth="1" min="3" max="3" width="11.71"/>
    <col customWidth="1" min="4" max="4" width="12.71"/>
    <col customWidth="1" min="5" max="5" width="14.86"/>
    <col customWidth="1" min="6" max="6" width="11.29"/>
    <col customWidth="1" min="7" max="7" width="10.57"/>
    <col customWidth="1" min="8" max="8" width="10.71"/>
    <col customWidth="1" min="9" max="11" width="10.57"/>
    <col customWidth="1" min="12" max="12" width="11.57"/>
    <col customWidth="1" min="13" max="13" width="10.57"/>
    <col customWidth="1" min="14" max="26" width="8.71"/>
  </cols>
  <sheetData>
    <row r="1" ht="14.25" customHeight="1">
      <c r="A1" s="5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>
      <c r="A2" s="4" t="s">
        <v>1</v>
      </c>
      <c r="B2" s="2"/>
      <c r="C2" s="2"/>
      <c r="D2" s="3"/>
      <c r="E2" s="5" t="s">
        <v>36</v>
      </c>
      <c r="F2" s="2"/>
      <c r="G2" s="2"/>
      <c r="H2" s="2"/>
      <c r="I2" s="2"/>
      <c r="J2" s="2"/>
      <c r="K2" s="2"/>
      <c r="L2" s="2"/>
      <c r="M2" s="3"/>
    </row>
    <row r="3" ht="18.0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10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6</v>
      </c>
      <c r="M3" s="6" t="s">
        <v>42</v>
      </c>
    </row>
    <row r="4" ht="14.25" customHeight="1">
      <c r="A4" s="6" t="s">
        <v>14</v>
      </c>
      <c r="B4" s="7">
        <v>50.0</v>
      </c>
      <c r="C4" s="8">
        <v>50.0</v>
      </c>
      <c r="D4" s="9">
        <f t="shared" ref="D4:D10" si="1">B4*C4</f>
        <v>2500</v>
      </c>
      <c r="E4" s="10">
        <v>1000.0</v>
      </c>
      <c r="F4" s="13">
        <f t="shared" ref="F4:F10" si="2">E4/D4</f>
        <v>0.4</v>
      </c>
      <c r="G4" s="10">
        <v>1000.0</v>
      </c>
      <c r="H4" s="10">
        <v>1000.0</v>
      </c>
      <c r="I4" s="10">
        <v>1000.0</v>
      </c>
      <c r="J4" s="10">
        <v>500.0</v>
      </c>
      <c r="K4" s="10">
        <v>500.0</v>
      </c>
      <c r="L4" s="12">
        <f t="shared" ref="L4:L10" si="3">SUM(I4:K4,H4,G4,E4)</f>
        <v>5000</v>
      </c>
      <c r="M4" s="31">
        <f t="shared" ref="M4:M10" si="4">D4-L4</f>
        <v>-2500</v>
      </c>
    </row>
    <row r="5" ht="14.25" customHeight="1">
      <c r="A5" s="6" t="s">
        <v>15</v>
      </c>
      <c r="B5" s="7">
        <v>50.0</v>
      </c>
      <c r="C5" s="8">
        <v>50.0</v>
      </c>
      <c r="D5" s="9">
        <f t="shared" si="1"/>
        <v>2500</v>
      </c>
      <c r="E5" s="10">
        <v>1000.0</v>
      </c>
      <c r="F5" s="13">
        <f t="shared" si="2"/>
        <v>0.4</v>
      </c>
      <c r="G5" s="10">
        <v>1000.0</v>
      </c>
      <c r="H5" s="10">
        <v>1000.0</v>
      </c>
      <c r="I5" s="10">
        <v>1000.0</v>
      </c>
      <c r="J5" s="10">
        <v>500.0</v>
      </c>
      <c r="K5" s="10">
        <v>500.0</v>
      </c>
      <c r="L5" s="12">
        <f t="shared" si="3"/>
        <v>5000</v>
      </c>
      <c r="M5" s="31">
        <f t="shared" si="4"/>
        <v>-2500</v>
      </c>
    </row>
    <row r="6" ht="14.25" customHeight="1">
      <c r="A6" s="6" t="s">
        <v>16</v>
      </c>
      <c r="B6" s="7">
        <v>80.0</v>
      </c>
      <c r="C6" s="8">
        <v>50.0</v>
      </c>
      <c r="D6" s="9">
        <f t="shared" si="1"/>
        <v>4000</v>
      </c>
      <c r="E6" s="10">
        <v>1000.0</v>
      </c>
      <c r="F6" s="13">
        <f t="shared" si="2"/>
        <v>0.25</v>
      </c>
      <c r="G6" s="10">
        <v>1000.0</v>
      </c>
      <c r="H6" s="10">
        <v>1000.0</v>
      </c>
      <c r="I6" s="10">
        <v>1000.0</v>
      </c>
      <c r="J6" s="10">
        <v>500.0</v>
      </c>
      <c r="K6" s="10">
        <v>500.0</v>
      </c>
      <c r="L6" s="12">
        <f t="shared" si="3"/>
        <v>5000</v>
      </c>
      <c r="M6" s="31">
        <f t="shared" si="4"/>
        <v>-1000</v>
      </c>
    </row>
    <row r="7" ht="14.25" customHeight="1">
      <c r="A7" s="6" t="s">
        <v>17</v>
      </c>
      <c r="B7" s="7">
        <v>120.0</v>
      </c>
      <c r="C7" s="8">
        <v>50.0</v>
      </c>
      <c r="D7" s="9">
        <f t="shared" si="1"/>
        <v>6000</v>
      </c>
      <c r="E7" s="10">
        <v>1000.0</v>
      </c>
      <c r="F7" s="13">
        <f t="shared" si="2"/>
        <v>0.1666666667</v>
      </c>
      <c r="G7" s="10">
        <v>1000.0</v>
      </c>
      <c r="H7" s="10">
        <v>1000.0</v>
      </c>
      <c r="I7" s="10">
        <v>1000.0</v>
      </c>
      <c r="J7" s="10">
        <v>500.0</v>
      </c>
      <c r="K7" s="10">
        <v>500.0</v>
      </c>
      <c r="L7" s="12">
        <f t="shared" si="3"/>
        <v>5000</v>
      </c>
      <c r="M7" s="31">
        <f t="shared" si="4"/>
        <v>1000</v>
      </c>
    </row>
    <row r="8" ht="14.25" customHeight="1">
      <c r="A8" s="6" t="s">
        <v>18</v>
      </c>
      <c r="B8" s="7">
        <v>200.0</v>
      </c>
      <c r="C8" s="8">
        <v>50.0</v>
      </c>
      <c r="D8" s="9">
        <f t="shared" si="1"/>
        <v>10000</v>
      </c>
      <c r="E8" s="10">
        <v>1000.0</v>
      </c>
      <c r="F8" s="13">
        <f t="shared" si="2"/>
        <v>0.1</v>
      </c>
      <c r="G8" s="10">
        <v>1000.0</v>
      </c>
      <c r="H8" s="10">
        <v>1000.0</v>
      </c>
      <c r="I8" s="10">
        <v>1000.0</v>
      </c>
      <c r="J8" s="10">
        <v>500.0</v>
      </c>
      <c r="K8" s="10">
        <v>500.0</v>
      </c>
      <c r="L8" s="12">
        <f t="shared" si="3"/>
        <v>5000</v>
      </c>
      <c r="M8" s="31">
        <f t="shared" si="4"/>
        <v>5000</v>
      </c>
    </row>
    <row r="9" ht="14.25" customHeight="1">
      <c r="A9" s="6" t="s">
        <v>19</v>
      </c>
      <c r="B9" s="7">
        <v>250.0</v>
      </c>
      <c r="C9" s="8">
        <v>50.0</v>
      </c>
      <c r="D9" s="9">
        <f t="shared" si="1"/>
        <v>12500</v>
      </c>
      <c r="E9" s="10">
        <v>1000.0</v>
      </c>
      <c r="F9" s="13">
        <f t="shared" si="2"/>
        <v>0.08</v>
      </c>
      <c r="G9" s="10">
        <v>1000.0</v>
      </c>
      <c r="H9" s="10">
        <v>1000.0</v>
      </c>
      <c r="I9" s="10">
        <v>1000.0</v>
      </c>
      <c r="J9" s="10">
        <v>500.0</v>
      </c>
      <c r="K9" s="10">
        <v>500.0</v>
      </c>
      <c r="L9" s="12">
        <f t="shared" si="3"/>
        <v>5000</v>
      </c>
      <c r="M9" s="31">
        <f t="shared" si="4"/>
        <v>7500</v>
      </c>
    </row>
    <row r="10" ht="14.25" customHeight="1">
      <c r="A10" s="6" t="s">
        <v>20</v>
      </c>
      <c r="B10" s="7">
        <v>150.0</v>
      </c>
      <c r="C10" s="8">
        <v>50.0</v>
      </c>
      <c r="D10" s="9">
        <f t="shared" si="1"/>
        <v>7500</v>
      </c>
      <c r="E10" s="10">
        <v>1000.0</v>
      </c>
      <c r="F10" s="13">
        <f t="shared" si="2"/>
        <v>0.1333333333</v>
      </c>
      <c r="G10" s="10">
        <v>1000.0</v>
      </c>
      <c r="H10" s="10">
        <v>1000.0</v>
      </c>
      <c r="I10" s="10">
        <v>1000.0</v>
      </c>
      <c r="J10" s="10">
        <v>500.0</v>
      </c>
      <c r="K10" s="10">
        <v>500.0</v>
      </c>
      <c r="L10" s="12">
        <f t="shared" si="3"/>
        <v>5000</v>
      </c>
      <c r="M10" s="31">
        <f t="shared" si="4"/>
        <v>2500</v>
      </c>
    </row>
    <row r="11" ht="14.25" customHeight="1">
      <c r="A11" s="6"/>
      <c r="B11" s="17">
        <f>SUM(B4:B10)</f>
        <v>900</v>
      </c>
      <c r="C11" s="18">
        <f>AVERAGE(C4:C10)</f>
        <v>50</v>
      </c>
      <c r="D11" s="9">
        <f t="shared" ref="D11:E11" si="5">SUM(D4:D10)</f>
        <v>45000</v>
      </c>
      <c r="E11" s="12">
        <f t="shared" si="5"/>
        <v>7000</v>
      </c>
      <c r="F11" s="13">
        <f>AVERAGE(F4:F10)</f>
        <v>0.2185714286</v>
      </c>
      <c r="G11" s="12">
        <f t="shared" ref="G11:M11" si="6">SUM(G4:G10)</f>
        <v>7000</v>
      </c>
      <c r="H11" s="12">
        <f t="shared" si="6"/>
        <v>7000</v>
      </c>
      <c r="I11" s="12">
        <f t="shared" si="6"/>
        <v>7000</v>
      </c>
      <c r="J11" s="12">
        <f t="shared" si="6"/>
        <v>3500</v>
      </c>
      <c r="K11" s="12">
        <f t="shared" si="6"/>
        <v>3500</v>
      </c>
      <c r="L11" s="12">
        <f t="shared" si="6"/>
        <v>35000</v>
      </c>
      <c r="M11" s="32">
        <f t="shared" si="6"/>
        <v>10000</v>
      </c>
    </row>
    <row r="12" ht="14.25" customHeight="1">
      <c r="A12" s="20"/>
      <c r="B12" s="20"/>
      <c r="C12" s="20"/>
      <c r="D12" s="21"/>
      <c r="E12" s="22"/>
      <c r="F12" s="22"/>
      <c r="G12" s="22"/>
      <c r="H12" s="22"/>
      <c r="I12" s="22"/>
      <c r="J12" s="22"/>
      <c r="K12" s="22"/>
      <c r="L12" s="22"/>
      <c r="M12" s="22"/>
    </row>
    <row r="13" ht="14.25" customHeight="1">
      <c r="A13" s="7"/>
      <c r="B13" s="23" t="s">
        <v>21</v>
      </c>
      <c r="C13" s="3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M1"/>
    <mergeCell ref="A2:D2"/>
    <mergeCell ref="E2:M2"/>
    <mergeCell ref="B13:C13"/>
  </mergeCells>
  <conditionalFormatting sqref="M4:M11">
    <cfRule type="cellIs" dxfId="3" priority="1" operator="greaterThan">
      <formula>200</formula>
    </cfRule>
  </conditionalFormatting>
  <conditionalFormatting sqref="M4:M11">
    <cfRule type="cellIs" dxfId="4" priority="2" operator="lessThan">
      <formula>-200</formula>
    </cfRule>
  </conditionalFormatting>
  <conditionalFormatting sqref="M4:M11">
    <cfRule type="cellIs" dxfId="2" priority="3" operator="between">
      <formula>200</formula>
      <formula>-200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57"/>
    <col customWidth="1" min="3" max="3" width="17.29"/>
    <col customWidth="1" min="4" max="5" width="15.43"/>
    <col customWidth="1" min="6" max="6" width="14.71"/>
    <col customWidth="1" min="7" max="19" width="8.71"/>
  </cols>
  <sheetData>
    <row r="1" ht="14.25" customHeight="1">
      <c r="A1" s="33" t="s">
        <v>43</v>
      </c>
      <c r="B1" s="2"/>
      <c r="C1" s="2"/>
      <c r="D1" s="2"/>
      <c r="E1" s="2"/>
      <c r="F1" s="3"/>
    </row>
    <row r="2" ht="14.25" customHeight="1">
      <c r="A2" s="34" t="s">
        <v>44</v>
      </c>
      <c r="B2" s="34" t="s">
        <v>45</v>
      </c>
      <c r="C2" s="34" t="s">
        <v>46</v>
      </c>
      <c r="D2" s="34" t="s">
        <v>47</v>
      </c>
      <c r="E2" s="34" t="s">
        <v>48</v>
      </c>
      <c r="F2" s="34" t="s">
        <v>49</v>
      </c>
    </row>
    <row r="3" ht="14.25" customHeight="1">
      <c r="A3" s="35" t="s">
        <v>50</v>
      </c>
      <c r="B3" s="36" t="s">
        <v>51</v>
      </c>
      <c r="C3" s="36">
        <v>10.0</v>
      </c>
      <c r="D3" s="35">
        <v>1000.0</v>
      </c>
      <c r="E3" s="35">
        <v>100.0</v>
      </c>
      <c r="F3" s="37">
        <f t="shared" ref="F3:F18" si="1">(C3/D3)*E3</f>
        <v>1</v>
      </c>
    </row>
    <row r="4" ht="14.25" customHeight="1">
      <c r="A4" s="35" t="s">
        <v>52</v>
      </c>
      <c r="B4" s="36" t="s">
        <v>53</v>
      </c>
      <c r="C4" s="36">
        <v>6.0</v>
      </c>
      <c r="D4" s="35">
        <v>12.0</v>
      </c>
      <c r="E4" s="35">
        <v>2.0</v>
      </c>
      <c r="F4" s="37">
        <f t="shared" si="1"/>
        <v>1</v>
      </c>
    </row>
    <row r="5" ht="14.25" customHeight="1">
      <c r="A5" s="35" t="s">
        <v>54</v>
      </c>
      <c r="B5" s="36" t="s">
        <v>53</v>
      </c>
      <c r="C5" s="36">
        <v>6.0</v>
      </c>
      <c r="D5" s="35">
        <v>6.0</v>
      </c>
      <c r="E5" s="35">
        <v>1.0</v>
      </c>
      <c r="F5" s="37">
        <f t="shared" si="1"/>
        <v>1</v>
      </c>
    </row>
    <row r="6" ht="14.25" customHeight="1">
      <c r="A6" s="35" t="s">
        <v>55</v>
      </c>
      <c r="B6" s="36" t="s">
        <v>56</v>
      </c>
      <c r="C6" s="36">
        <v>3.0</v>
      </c>
      <c r="D6" s="35">
        <v>1000.0</v>
      </c>
      <c r="E6" s="35">
        <v>10.0</v>
      </c>
      <c r="F6" s="37">
        <f t="shared" si="1"/>
        <v>0.03</v>
      </c>
    </row>
    <row r="7" ht="14.25" customHeight="1">
      <c r="A7" s="35" t="s">
        <v>57</v>
      </c>
      <c r="B7" s="36" t="s">
        <v>51</v>
      </c>
      <c r="C7" s="36">
        <v>8.0</v>
      </c>
      <c r="D7" s="35">
        <v>1000.0</v>
      </c>
      <c r="E7" s="35">
        <v>25.0</v>
      </c>
      <c r="F7" s="37">
        <f t="shared" si="1"/>
        <v>0.2</v>
      </c>
    </row>
    <row r="8" ht="14.25" customHeight="1">
      <c r="A8" s="38"/>
      <c r="B8" s="38"/>
      <c r="C8" s="36">
        <v>1.0</v>
      </c>
      <c r="D8" s="35">
        <v>1.0</v>
      </c>
      <c r="E8" s="35">
        <v>0.0</v>
      </c>
      <c r="F8" s="37">
        <f t="shared" si="1"/>
        <v>0</v>
      </c>
    </row>
    <row r="9" ht="14.25" customHeight="1">
      <c r="A9" s="38"/>
      <c r="B9" s="38"/>
      <c r="C9" s="36">
        <v>1.0</v>
      </c>
      <c r="D9" s="35">
        <v>1.0</v>
      </c>
      <c r="E9" s="35">
        <v>0.0</v>
      </c>
      <c r="F9" s="37">
        <f t="shared" si="1"/>
        <v>0</v>
      </c>
    </row>
    <row r="10" ht="14.25" customHeight="1">
      <c r="A10" s="38"/>
      <c r="B10" s="38"/>
      <c r="C10" s="36">
        <v>1.0</v>
      </c>
      <c r="D10" s="35">
        <v>1.0</v>
      </c>
      <c r="E10" s="35">
        <v>0.0</v>
      </c>
      <c r="F10" s="37">
        <f t="shared" si="1"/>
        <v>0</v>
      </c>
    </row>
    <row r="11" ht="14.25" customHeight="1">
      <c r="A11" s="38"/>
      <c r="B11" s="38"/>
      <c r="C11" s="36">
        <v>1.0</v>
      </c>
      <c r="D11" s="35">
        <v>1.0</v>
      </c>
      <c r="E11" s="35">
        <v>0.0</v>
      </c>
      <c r="F11" s="37">
        <f t="shared" si="1"/>
        <v>0</v>
      </c>
    </row>
    <row r="12" ht="14.25" customHeight="1">
      <c r="A12" s="38"/>
      <c r="B12" s="38"/>
      <c r="C12" s="36">
        <v>1.0</v>
      </c>
      <c r="D12" s="35">
        <v>1.0</v>
      </c>
      <c r="E12" s="35">
        <v>0.0</v>
      </c>
      <c r="F12" s="37">
        <f t="shared" si="1"/>
        <v>0</v>
      </c>
    </row>
    <row r="13" ht="14.25" customHeight="1">
      <c r="A13" s="38"/>
      <c r="B13" s="38"/>
      <c r="C13" s="36">
        <v>1.0</v>
      </c>
      <c r="D13" s="35">
        <v>1.0</v>
      </c>
      <c r="E13" s="35">
        <v>0.0</v>
      </c>
      <c r="F13" s="37">
        <f t="shared" si="1"/>
        <v>0</v>
      </c>
    </row>
    <row r="14" ht="14.25" customHeight="1">
      <c r="A14" s="38"/>
      <c r="B14" s="38"/>
      <c r="C14" s="36">
        <v>1.0</v>
      </c>
      <c r="D14" s="35">
        <v>1.0</v>
      </c>
      <c r="E14" s="35">
        <v>0.0</v>
      </c>
      <c r="F14" s="37">
        <f t="shared" si="1"/>
        <v>0</v>
      </c>
    </row>
    <row r="15" ht="14.25" customHeight="1">
      <c r="A15" s="38"/>
      <c r="B15" s="38"/>
      <c r="C15" s="36">
        <v>1.0</v>
      </c>
      <c r="D15" s="35">
        <v>1.0</v>
      </c>
      <c r="E15" s="35">
        <v>0.0</v>
      </c>
      <c r="F15" s="37">
        <f t="shared" si="1"/>
        <v>0</v>
      </c>
    </row>
    <row r="16" ht="14.25" customHeight="1">
      <c r="A16" s="38"/>
      <c r="B16" s="38"/>
      <c r="C16" s="36">
        <v>1.0</v>
      </c>
      <c r="D16" s="35">
        <v>1.0</v>
      </c>
      <c r="E16" s="35">
        <v>0.0</v>
      </c>
      <c r="F16" s="37">
        <f t="shared" si="1"/>
        <v>0</v>
      </c>
    </row>
    <row r="17" ht="14.25" customHeight="1">
      <c r="A17" s="38"/>
      <c r="B17" s="38"/>
      <c r="C17" s="36">
        <v>1.0</v>
      </c>
      <c r="D17" s="35">
        <v>1.0</v>
      </c>
      <c r="E17" s="35">
        <v>0.0</v>
      </c>
      <c r="F17" s="37">
        <f t="shared" si="1"/>
        <v>0</v>
      </c>
    </row>
    <row r="18" ht="14.25" customHeight="1">
      <c r="A18" s="38"/>
      <c r="B18" s="38"/>
      <c r="C18" s="36">
        <v>1.0</v>
      </c>
      <c r="D18" s="35">
        <v>1.0</v>
      </c>
      <c r="E18" s="35">
        <v>0.0</v>
      </c>
      <c r="F18" s="37">
        <f t="shared" si="1"/>
        <v>0</v>
      </c>
    </row>
    <row r="19" ht="14.25" customHeight="1">
      <c r="A19" s="22"/>
      <c r="B19" s="22"/>
      <c r="C19" s="22"/>
      <c r="D19" s="22"/>
      <c r="E19" s="22"/>
      <c r="F19" s="22"/>
    </row>
    <row r="20" ht="14.25" customHeight="1">
      <c r="A20" s="22"/>
      <c r="B20" s="22"/>
      <c r="C20" s="22"/>
      <c r="D20" s="22"/>
      <c r="E20" s="39" t="s">
        <v>58</v>
      </c>
      <c r="F20" s="37">
        <f>SUM(F3:F18)</f>
        <v>3.23</v>
      </c>
    </row>
    <row r="21" ht="14.25" customHeight="1">
      <c r="A21" s="22"/>
      <c r="B21" s="22"/>
      <c r="C21" s="22"/>
      <c r="D21" s="22"/>
      <c r="E21" s="39" t="s">
        <v>59</v>
      </c>
      <c r="F21" s="36">
        <v>10.0</v>
      </c>
    </row>
    <row r="22" ht="14.25" customHeight="1">
      <c r="A22" s="22"/>
      <c r="B22" s="22"/>
      <c r="C22" s="22"/>
      <c r="D22" s="22"/>
      <c r="E22" s="39" t="s">
        <v>60</v>
      </c>
      <c r="F22" s="13">
        <f>F20/F21</f>
        <v>0.323</v>
      </c>
    </row>
    <row r="23" ht="14.25" customHeight="1">
      <c r="A23" s="22"/>
      <c r="B23" s="22"/>
      <c r="C23" s="22"/>
      <c r="D23" s="22"/>
      <c r="E23" s="39" t="s">
        <v>61</v>
      </c>
      <c r="F23" s="37">
        <f>F21-F20</f>
        <v>6.77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1">
    <mergeCell ref="A1:F1"/>
  </mergeCells>
  <dataValidations>
    <dataValidation type="list" allowBlank="1" showErrorMessage="1" sqref="B3:B18">
      <formula1>"ea,g,ml"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2025-04-27T02:41:59Z</dcterms:created>
  <dc:creator>Daniel Vardareff</dc:creator>
</cp:coreProperties>
</file>